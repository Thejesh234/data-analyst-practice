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s\Arithmetic &amp; Logical\Updated\"/>
    </mc:Choice>
  </mc:AlternateContent>
  <xr:revisionPtr revIDLastSave="0" documentId="13_ncr:1_{E4944960-B845-4B71-9806-C895E8110506}" xr6:coauthVersionLast="47" xr6:coauthVersionMax="47" xr10:uidLastSave="{00000000-0000-0000-0000-000000000000}"/>
  <bookViews>
    <workbookView xWindow="-108" yWindow="-108" windowWidth="23256" windowHeight="12456" xr2:uid="{8FC5E2C7-95B7-40DF-B487-54F5D339AA58}"/>
  </bookViews>
  <sheets>
    <sheet name="Arithmetic &amp; Logical Fun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1" l="1"/>
  <c r="I20" i="1" a="1"/>
  <c r="I20" i="1"/>
  <c r="J16" i="1"/>
  <c r="J17" i="1"/>
  <c r="J15" i="1"/>
  <c r="I15" i="1" a="1"/>
  <c r="I15" i="1"/>
  <c r="I11" i="1"/>
  <c r="I10" i="1"/>
  <c r="I6" i="1"/>
  <c r="I4" i="1"/>
  <c r="I17" i="1"/>
  <c r="I1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<sst xmlns="http://schemas.openxmlformats.org/spreadsheetml/2006/main" count="51" uniqueCount="40">
  <si>
    <t xml:space="preserve">Practice Exercise - Arithmetic and Logical Functions </t>
  </si>
  <si>
    <t>S No</t>
  </si>
  <si>
    <t>Question</t>
  </si>
  <si>
    <t>Example</t>
  </si>
  <si>
    <t>Input</t>
  </si>
  <si>
    <t>Desired Output</t>
  </si>
  <si>
    <t>Identify which transaction id value is larger(Remove text values and compare)</t>
  </si>
  <si>
    <t>Ex: 20240517AP &amp; 20231227MP
20240517AP is larger.</t>
  </si>
  <si>
    <t>20030815RJ</t>
  </si>
  <si>
    <t>20040617KL</t>
  </si>
  <si>
    <t>Which Gender's average height is more?</t>
  </si>
  <si>
    <t>Ex:
Male: 5.8
Male: 6
Female: 5.9
Female: 5.8
Result: Male</t>
  </si>
  <si>
    <t>Female</t>
  </si>
  <si>
    <t>Male</t>
  </si>
  <si>
    <t>Test if a given number is divisible by 7</t>
  </si>
  <si>
    <t>Ex: 14 - Yes, 6 - No</t>
  </si>
  <si>
    <t>No</t>
  </si>
  <si>
    <t>Check if the number of unique values are even or odd</t>
  </si>
  <si>
    <r>
      <t xml:space="preserve">Ex: 
Rajesh
Ramesh
Suresh
Rajesh
</t>
    </r>
    <r>
      <rPr>
        <b/>
        <sz val="11"/>
        <color theme="1"/>
        <rFont val="Calibri"/>
        <family val="2"/>
        <scheme val="minor"/>
      </rPr>
      <t xml:space="preserve">Result: </t>
    </r>
    <r>
      <rPr>
        <sz val="11"/>
        <color theme="1"/>
        <rFont val="Calibri"/>
        <family val="2"/>
        <scheme val="minor"/>
      </rPr>
      <t>Odd(3 unique values)</t>
    </r>
  </si>
  <si>
    <t>Sharukh</t>
  </si>
  <si>
    <t>Odd</t>
  </si>
  <si>
    <t>Append days of a Week using comma(,)  separator</t>
  </si>
  <si>
    <t>Salman</t>
  </si>
  <si>
    <t>Hrithik</t>
  </si>
  <si>
    <t>Identify which product is Hit and which one is Flop</t>
  </si>
  <si>
    <r>
      <t xml:space="preserve">Ex: Sales of products
Perfume: 500
Watches: 400
Jeans: 800
Perfume: 600
Watches: 600
Jeans: 100
</t>
    </r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
Perfumes is Hit(total above 1000)
Watches is Flop(total less than 1000)
Jeans is Flop(total less than 1000)</t>
    </r>
  </si>
  <si>
    <t>T-Shirt</t>
  </si>
  <si>
    <t>Hit</t>
  </si>
  <si>
    <t>Shoes</t>
  </si>
  <si>
    <t>Jeans</t>
  </si>
  <si>
    <t>Flop</t>
  </si>
  <si>
    <t>Assign Grades to Student Marks</t>
  </si>
  <si>
    <t>Ex: 
&gt;=80 : A
60-80 : B
40-60: C
&lt;40: D</t>
  </si>
  <si>
    <t>B</t>
  </si>
  <si>
    <t>Should we promote a product or not?</t>
  </si>
  <si>
    <r>
      <t xml:space="preserve">Ex:
Promote a product that satisfies if either </t>
    </r>
    <r>
      <rPr>
        <b/>
        <sz val="11"/>
        <color theme="1"/>
        <rFont val="Calibri"/>
        <family val="2"/>
        <scheme val="minor"/>
      </rPr>
      <t>Total Sales&gt;10000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Production Cost &lt; 4000</t>
    </r>
    <r>
      <rPr>
        <sz val="11"/>
        <color theme="1"/>
        <rFont val="Calibri"/>
        <family val="2"/>
        <scheme val="minor"/>
      </rPr>
      <t xml:space="preserve"> 
and additionally if </t>
    </r>
    <r>
      <rPr>
        <b/>
        <sz val="11"/>
        <color theme="1"/>
        <rFont val="Calibri"/>
        <family val="2"/>
        <scheme val="minor"/>
      </rPr>
      <t>Total Quantity Sold &gt;200</t>
    </r>
    <r>
      <rPr>
        <sz val="11"/>
        <color theme="1"/>
        <rFont val="Calibri"/>
        <family val="2"/>
        <scheme val="minor"/>
      </rPr>
      <t xml:space="preserve"> </t>
    </r>
  </si>
  <si>
    <t>Total Sales</t>
  </si>
  <si>
    <t>Promote</t>
  </si>
  <si>
    <t>Production Cost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</si>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</sst>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1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7" xfId="0" applyBorder="1"/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2" xfId="0" applyBorder="1"/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4" borderId="2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9665-BBCB-4325-AEC7-AA38144FD27D}">
  <dimension ref="A1:N23"/>
  <sheetViews>
    <sheetView showGridLines="0" tabSelected="1" workbookViewId="0">
      <pane ySplit="3" topLeftCell="A4" activePane="bottomLeft" state="frozen"/>
      <selection pane="bottomLeft" activeCell="C6" sqref="C6:C9"/>
    </sheetView>
  </sheetViews>
  <sheetFormatPr defaultRowHeight="14.4" x14ac:dyDescent="0.3"/>
  <cols>
    <col min="1" max="1" width="4.88671875" style="1" bestFit="1" customWidth="1"/>
    <col min="2" max="2" width="73.5546875" bestFit="1" customWidth="1"/>
    <col min="3" max="3" width="32.5546875" style="18" customWidth="1"/>
    <col min="4" max="4" width="13.44140625" style="1" bestFit="1" customWidth="1"/>
    <col min="5" max="5" width="6" style="1" bestFit="1" customWidth="1"/>
    <col min="6" max="6" width="10.88671875" style="1" bestFit="1" customWidth="1"/>
    <col min="7" max="7" width="4.44140625" style="1" bestFit="1" customWidth="1"/>
    <col min="8" max="8" width="8.44140625" style="1" customWidth="1"/>
    <col min="9" max="9" width="11.5546875" bestFit="1" customWidth="1"/>
    <col min="10" max="10" width="11.6640625" bestFit="1" customWidth="1"/>
  </cols>
  <sheetData>
    <row r="1" spans="1:14" x14ac:dyDescent="0.3">
      <c r="A1" s="28" t="s">
        <v>0</v>
      </c>
      <c r="B1" s="28"/>
    </row>
    <row r="2" spans="1:14" x14ac:dyDescent="0.3">
      <c r="A2" s="28"/>
      <c r="B2" s="28"/>
    </row>
    <row r="3" spans="1:14" x14ac:dyDescent="0.3">
      <c r="A3" s="23" t="s">
        <v>1</v>
      </c>
      <c r="B3" s="23" t="s">
        <v>2</v>
      </c>
      <c r="C3" s="19" t="s">
        <v>3</v>
      </c>
      <c r="D3" s="34" t="s">
        <v>4</v>
      </c>
      <c r="E3" s="35"/>
      <c r="F3" s="29" t="s">
        <v>5</v>
      </c>
      <c r="G3" s="29"/>
      <c r="H3" s="29"/>
      <c r="I3" s="2"/>
      <c r="J3" s="2"/>
      <c r="K3" s="2"/>
      <c r="L3" s="2"/>
      <c r="M3" s="2"/>
      <c r="N3" s="2"/>
    </row>
    <row r="4" spans="1:14" ht="28.95" customHeight="1" x14ac:dyDescent="0.3">
      <c r="A4" s="32">
        <v>1</v>
      </c>
      <c r="B4" s="30" t="s">
        <v>6</v>
      </c>
      <c r="C4" s="30" t="s">
        <v>7</v>
      </c>
      <c r="D4" s="9" t="s">
        <v>8</v>
      </c>
      <c r="E4" s="11"/>
      <c r="F4" s="4" t="s">
        <v>9</v>
      </c>
      <c r="G4" s="8"/>
      <c r="H4" s="8"/>
      <c r="I4" s="22" t="str">
        <f>IF(LEFT(D4,LEN(D4)-2)&gt;LEFT(D5,LEN(D5)-2),D4,D5)</f>
        <v>20040617KL</v>
      </c>
      <c r="J4" s="2"/>
      <c r="K4" s="2"/>
      <c r="L4" s="2"/>
      <c r="M4" s="2"/>
      <c r="N4" s="2"/>
    </row>
    <row r="5" spans="1:14" x14ac:dyDescent="0.3">
      <c r="A5" s="33"/>
      <c r="B5" s="31"/>
      <c r="C5" s="31"/>
      <c r="D5" s="9" t="s">
        <v>9</v>
      </c>
      <c r="E5" s="11"/>
      <c r="F5" s="8"/>
      <c r="G5" s="8"/>
      <c r="H5" s="8"/>
      <c r="I5" s="22"/>
      <c r="J5" s="2"/>
      <c r="K5" s="2"/>
      <c r="L5" s="2"/>
      <c r="M5" s="2"/>
      <c r="N5" s="2"/>
    </row>
    <row r="6" spans="1:14" x14ac:dyDescent="0.3">
      <c r="A6" s="36">
        <v>2</v>
      </c>
      <c r="B6" s="39" t="s">
        <v>10</v>
      </c>
      <c r="C6" s="39" t="s">
        <v>11</v>
      </c>
      <c r="D6" s="5" t="s">
        <v>12</v>
      </c>
      <c r="E6" s="5">
        <v>6.1</v>
      </c>
      <c r="F6" s="4" t="s">
        <v>12</v>
      </c>
      <c r="G6" s="8"/>
      <c r="H6" s="8"/>
      <c r="I6" s="2" t="str">
        <f>IF(AVERAGEIF(D6:D9,"=Female",E6:E9)&gt;AVERAGEIF(D6:D9,"=Male",E6:E9),"Female","Male")</f>
        <v>Female</v>
      </c>
      <c r="J6" s="2"/>
      <c r="K6" s="2"/>
      <c r="L6" s="2"/>
      <c r="M6" s="2"/>
      <c r="N6" s="2"/>
    </row>
    <row r="7" spans="1:14" x14ac:dyDescent="0.3">
      <c r="A7" s="37"/>
      <c r="B7" s="40"/>
      <c r="C7" s="40"/>
      <c r="D7" s="5" t="s">
        <v>13</v>
      </c>
      <c r="E7" s="5">
        <v>5.7</v>
      </c>
      <c r="F7" s="8"/>
      <c r="G7" s="8"/>
      <c r="H7" s="8"/>
      <c r="I7" s="2"/>
      <c r="J7" s="2"/>
      <c r="K7" s="2"/>
      <c r="L7" s="2"/>
      <c r="M7" s="2"/>
      <c r="N7" s="2"/>
    </row>
    <row r="8" spans="1:14" x14ac:dyDescent="0.3">
      <c r="A8" s="37"/>
      <c r="B8" s="40"/>
      <c r="C8" s="40"/>
      <c r="D8" s="5" t="s">
        <v>12</v>
      </c>
      <c r="E8" s="5">
        <v>5.8</v>
      </c>
      <c r="F8" s="8"/>
      <c r="G8" s="8"/>
      <c r="H8" s="8"/>
      <c r="I8" s="2"/>
      <c r="J8" s="2"/>
      <c r="K8" s="2"/>
      <c r="L8" s="2"/>
      <c r="M8" s="2"/>
      <c r="N8" s="2"/>
    </row>
    <row r="9" spans="1:14" x14ac:dyDescent="0.3">
      <c r="A9" s="38"/>
      <c r="B9" s="41"/>
      <c r="C9" s="41"/>
      <c r="D9" s="5" t="s">
        <v>13</v>
      </c>
      <c r="E9" s="5">
        <v>5.9</v>
      </c>
      <c r="F9" s="8"/>
      <c r="G9" s="8"/>
      <c r="H9" s="8"/>
      <c r="I9" s="2"/>
      <c r="J9" s="2"/>
      <c r="K9" s="2"/>
      <c r="L9" s="2"/>
      <c r="M9" s="2"/>
      <c r="N9" s="2"/>
    </row>
    <row r="10" spans="1:14" x14ac:dyDescent="0.3">
      <c r="A10" s="4">
        <v>3</v>
      </c>
      <c r="B10" s="2" t="s">
        <v>14</v>
      </c>
      <c r="C10" s="3" t="s">
        <v>15</v>
      </c>
      <c r="D10" s="4">
        <v>857385748</v>
      </c>
      <c r="E10" s="8"/>
      <c r="F10" s="4" t="s">
        <v>16</v>
      </c>
      <c r="G10" s="8"/>
      <c r="H10" s="8"/>
      <c r="I10" s="2" t="str">
        <f>IF(MOD(D10,7)=0,"Yes","No")</f>
        <v>No</v>
      </c>
      <c r="J10" s="2"/>
      <c r="K10" s="2"/>
      <c r="L10" s="2"/>
      <c r="M10" s="2"/>
      <c r="N10" s="2"/>
    </row>
    <row r="11" spans="1:14" x14ac:dyDescent="0.3">
      <c r="A11" s="32">
        <v>4</v>
      </c>
      <c r="B11" s="30" t="s">
        <v>17</v>
      </c>
      <c r="C11" s="30" t="s">
        <v>18</v>
      </c>
      <c r="D11" s="4" t="s">
        <v>19</v>
      </c>
      <c r="E11" s="8"/>
      <c r="F11" s="4" t="s">
        <v>20</v>
      </c>
      <c r="G11" s="8"/>
      <c r="H11" s="8"/>
      <c r="I11" s="2" t="str">
        <f>IF(MOD(COUNTA(_xlfn.UNIQUE(D11:D14)),2)=0,"Even","Odd")</f>
        <v>Odd</v>
      </c>
      <c r="J11" s="2"/>
      <c r="K11" s="2"/>
      <c r="L11" s="2"/>
      <c r="M11" s="2"/>
      <c r="N11" s="2"/>
    </row>
    <row r="12" spans="1:14" x14ac:dyDescent="0.3">
      <c r="A12" s="43">
        <v>5</v>
      </c>
      <c r="B12" s="42" t="s">
        <v>21</v>
      </c>
      <c r="C12" s="42"/>
      <c r="D12" s="4" t="s">
        <v>22</v>
      </c>
      <c r="E12" s="8"/>
      <c r="F12" s="12"/>
      <c r="G12" s="12"/>
      <c r="H12" s="12"/>
      <c r="I12" s="2"/>
      <c r="J12" s="2"/>
      <c r="K12" s="2"/>
      <c r="L12" s="2"/>
      <c r="M12" s="2"/>
      <c r="N12" s="2"/>
    </row>
    <row r="13" spans="1:14" x14ac:dyDescent="0.3">
      <c r="A13" s="43"/>
      <c r="B13" s="42"/>
      <c r="C13" s="42"/>
      <c r="D13" s="4" t="s">
        <v>23</v>
      </c>
      <c r="E13" s="8"/>
      <c r="F13" s="12"/>
      <c r="G13" s="12"/>
      <c r="H13" s="12"/>
      <c r="I13" s="2"/>
      <c r="J13" s="2"/>
      <c r="K13" s="2"/>
      <c r="L13" s="2"/>
      <c r="M13" s="2"/>
      <c r="N13" s="2"/>
    </row>
    <row r="14" spans="1:14" ht="44.4" customHeight="1" x14ac:dyDescent="0.3">
      <c r="A14" s="33"/>
      <c r="B14" s="31"/>
      <c r="C14" s="31"/>
      <c r="D14" s="4" t="s">
        <v>22</v>
      </c>
      <c r="E14" s="8"/>
      <c r="F14" s="12"/>
      <c r="G14" s="12"/>
      <c r="H14" s="12"/>
      <c r="I14" s="2"/>
      <c r="J14" s="2"/>
      <c r="K14" s="2"/>
      <c r="L14" s="2"/>
      <c r="M14" s="2"/>
      <c r="N14" s="2"/>
    </row>
    <row r="15" spans="1:14" x14ac:dyDescent="0.3">
      <c r="A15" s="32">
        <v>5</v>
      </c>
      <c r="B15" s="47" t="s">
        <v>24</v>
      </c>
      <c r="C15" s="44" t="s">
        <v>25</v>
      </c>
      <c r="D15" s="4" t="s">
        <v>26</v>
      </c>
      <c r="E15" s="4">
        <v>500</v>
      </c>
      <c r="F15" s="15" t="s">
        <v>26</v>
      </c>
      <c r="G15" s="15" t="s">
        <v>27</v>
      </c>
      <c r="H15" s="12"/>
      <c r="I15" s="2" t="str" cm="1">
        <f t="array" ref="I15:I17">_xlfn.UNIQUE(D15:D19)</f>
        <v>T-Shirt</v>
      </c>
      <c r="J15" s="2" t="str">
        <f>IF(SUMIF($D$15:$D$19,F15,$E$15:$E$19)&gt;1000,"Hit","Flop")</f>
        <v>Hit</v>
      </c>
      <c r="K15" s="2"/>
      <c r="L15" s="2"/>
      <c r="M15" s="2"/>
      <c r="N15" s="2"/>
    </row>
    <row r="16" spans="1:14" x14ac:dyDescent="0.3">
      <c r="A16" s="43"/>
      <c r="B16" s="48"/>
      <c r="C16" s="45"/>
      <c r="D16" s="4" t="s">
        <v>28</v>
      </c>
      <c r="E16" s="4">
        <v>600</v>
      </c>
      <c r="F16" s="4" t="s">
        <v>28</v>
      </c>
      <c r="G16" s="16" t="s">
        <v>27</v>
      </c>
      <c r="H16" s="8"/>
      <c r="I16" s="2" t="str">
        <v>Shoes</v>
      </c>
      <c r="J16" s="2" t="str">
        <f t="shared" ref="J16:J17" si="0">IF(SUMIF($D$15:$D$19,F16,$E$15:$E$19)&gt;1000,"Hit","Flop")</f>
        <v>Hit</v>
      </c>
      <c r="K16" s="2"/>
      <c r="L16" s="2"/>
      <c r="M16" s="2"/>
      <c r="N16" s="2"/>
    </row>
    <row r="17" spans="1:14" x14ac:dyDescent="0.3">
      <c r="A17" s="43"/>
      <c r="B17" s="48"/>
      <c r="C17" s="45"/>
      <c r="D17" s="4" t="s">
        <v>26</v>
      </c>
      <c r="E17" s="4">
        <v>800</v>
      </c>
      <c r="F17" s="7" t="s">
        <v>29</v>
      </c>
      <c r="G17" s="16" t="s">
        <v>30</v>
      </c>
      <c r="H17" s="8"/>
      <c r="I17" s="2" t="str">
        <v>Jeans</v>
      </c>
      <c r="J17" s="2" t="str">
        <f t="shared" si="0"/>
        <v>Flop</v>
      </c>
      <c r="K17" s="2"/>
      <c r="L17" s="2"/>
      <c r="M17" s="2"/>
      <c r="N17" s="2"/>
    </row>
    <row r="18" spans="1:14" x14ac:dyDescent="0.3">
      <c r="A18" s="43"/>
      <c r="B18" s="48"/>
      <c r="C18" s="45"/>
      <c r="D18" s="4" t="s">
        <v>29</v>
      </c>
      <c r="E18" s="4">
        <v>700</v>
      </c>
      <c r="F18" s="8"/>
      <c r="G18" s="8"/>
      <c r="H18" s="8"/>
      <c r="I18" s="27"/>
      <c r="J18" s="27"/>
      <c r="K18" s="27"/>
      <c r="L18" s="27"/>
      <c r="M18" s="27"/>
      <c r="N18" s="27"/>
    </row>
    <row r="19" spans="1:14" ht="110.25" customHeight="1" x14ac:dyDescent="0.3">
      <c r="A19" s="33"/>
      <c r="B19" s="49"/>
      <c r="C19" s="46"/>
      <c r="D19" s="4" t="s">
        <v>28</v>
      </c>
      <c r="E19" s="4">
        <v>500</v>
      </c>
      <c r="F19" s="8"/>
      <c r="G19" s="8"/>
      <c r="H19" s="25"/>
      <c r="I19" s="24"/>
      <c r="J19" s="24"/>
      <c r="K19" s="24"/>
      <c r="L19" s="24"/>
      <c r="M19" s="24"/>
      <c r="N19" s="24"/>
    </row>
    <row r="20" spans="1:14" ht="84" customHeight="1" x14ac:dyDescent="0.3">
      <c r="A20" s="10">
        <v>6</v>
      </c>
      <c r="B20" s="14" t="s">
        <v>31</v>
      </c>
      <c r="C20" s="13" t="s">
        <v>32</v>
      </c>
      <c r="D20" s="4">
        <v>68</v>
      </c>
      <c r="E20" s="6"/>
      <c r="F20" s="20" t="s">
        <v>33</v>
      </c>
      <c r="G20" s="21"/>
      <c r="H20" s="26"/>
      <c r="I20" s="24" t="str" cm="1">
        <f t="array" ref="I20">_xlfn.IFS(D20&gt;=80,"A",D20&gt;=60,"B",D20&gt;=40,"C",D20&lt;40,"D")</f>
        <v>B</v>
      </c>
      <c r="J20" s="24"/>
      <c r="K20" s="24"/>
      <c r="L20" s="24"/>
      <c r="M20" s="24"/>
      <c r="N20" s="24"/>
    </row>
    <row r="21" spans="1:14" ht="14.4" customHeight="1" x14ac:dyDescent="0.3">
      <c r="A21" s="51">
        <v>7</v>
      </c>
      <c r="B21" s="50" t="s">
        <v>34</v>
      </c>
      <c r="C21" s="50" t="s">
        <v>35</v>
      </c>
      <c r="D21" s="4" t="s">
        <v>36</v>
      </c>
      <c r="E21" s="4">
        <v>14000</v>
      </c>
      <c r="F21" s="4" t="s">
        <v>37</v>
      </c>
      <c r="G21" s="8"/>
      <c r="H21" s="25"/>
      <c r="I21" s="24" t="str">
        <f>IF(AND(OR(E21&gt;10000,E22&lt;4000),E23&gt;200),"Promote","Don't promote")</f>
        <v>Promote</v>
      </c>
      <c r="J21" s="24"/>
      <c r="K21" s="24"/>
      <c r="L21" s="24"/>
      <c r="M21" s="24"/>
      <c r="N21" s="24"/>
    </row>
    <row r="22" spans="1:14" ht="73.2" customHeight="1" x14ac:dyDescent="0.3">
      <c r="A22" s="51"/>
      <c r="B22" s="50"/>
      <c r="C22" s="50"/>
      <c r="D22" s="4" t="s">
        <v>38</v>
      </c>
      <c r="E22" s="4">
        <v>4500</v>
      </c>
      <c r="F22" s="17"/>
      <c r="G22" s="8"/>
      <c r="H22" s="25"/>
      <c r="I22" s="24"/>
      <c r="J22" s="24"/>
      <c r="K22" s="24"/>
      <c r="L22" s="24"/>
      <c r="M22" s="24"/>
      <c r="N22" s="24"/>
    </row>
    <row r="23" spans="1:14" x14ac:dyDescent="0.3">
      <c r="A23" s="51"/>
      <c r="B23" s="50"/>
      <c r="C23" s="50"/>
      <c r="D23" s="4" t="s">
        <v>39</v>
      </c>
      <c r="E23" s="4">
        <v>250</v>
      </c>
      <c r="F23" s="8"/>
      <c r="G23" s="8"/>
      <c r="H23" s="25"/>
      <c r="I23" s="24"/>
      <c r="J23" s="24"/>
      <c r="K23" s="24"/>
      <c r="L23" s="24"/>
      <c r="M23" s="24"/>
      <c r="N23" s="24"/>
    </row>
  </sheetData>
  <mergeCells count="18">
    <mergeCell ref="C15:C19"/>
    <mergeCell ref="B15:B19"/>
    <mergeCell ref="A15:A19"/>
    <mergeCell ref="C21:C23"/>
    <mergeCell ref="B21:B23"/>
    <mergeCell ref="A21:A23"/>
    <mergeCell ref="A6:A9"/>
    <mergeCell ref="B6:B9"/>
    <mergeCell ref="C11:C14"/>
    <mergeCell ref="B11:B14"/>
    <mergeCell ref="A11:A14"/>
    <mergeCell ref="C6:C9"/>
    <mergeCell ref="A1:B2"/>
    <mergeCell ref="F3:H3"/>
    <mergeCell ref="C4:C5"/>
    <mergeCell ref="A4:A5"/>
    <mergeCell ref="B4:B5"/>
    <mergeCell ref="D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Arithmetic &amp; Logical 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Praveen Angam</dc:creator>
  <cp:keywords/>
  <dc:description/>
  <cp:lastModifiedBy>Thejesh B</cp:lastModifiedBy>
  <cp:revision/>
  <dcterms:created xsi:type="dcterms:W3CDTF">2024-05-22T09:30:15Z</dcterms:created>
  <dcterms:modified xsi:type="dcterms:W3CDTF">2026-03-10T10:18:33Z</dcterms:modified>
  <cp:category/>
  <cp:contentStatus/>
</cp:coreProperties>
</file>